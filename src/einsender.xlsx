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atthiasmohr/IdeaProjects/fenner-route-optimizer/src/"/>
    </mc:Choice>
  </mc:AlternateContent>
  <xr:revisionPtr revIDLastSave="0" documentId="13_ncr:1_{2AB661BE-CDEF-D641-B41B-80ED7054EA83}" xr6:coauthVersionLast="47" xr6:coauthVersionMax="47" xr10:uidLastSave="{00000000-0000-0000-0000-000000000000}"/>
  <bookViews>
    <workbookView xWindow="0" yWindow="680" windowWidth="34200" windowHeight="203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<sst xmlns="http://schemas.openxmlformats.org/spreadsheetml/2006/main" count="87" uniqueCount="76">
  <si>
    <t>Standortumsatz in Melos</t>
  </si>
  <si>
    <t>Labortage</t>
  </si>
  <si>
    <t>Abholkosten Touren</t>
  </si>
  <si>
    <t>Abholkosten Anteil</t>
  </si>
  <si>
    <t>Einsender</t>
  </si>
  <si>
    <t>Touren</t>
  </si>
  <si>
    <t>Heiligengeiststr. 19, 26121, Oldenburg</t>
  </si>
  <si>
    <t>Dr. med. Charlotte Rechenmacher</t>
  </si>
  <si>
    <t>HB001</t>
  </si>
  <si>
    <t>Hauptstr. 51, 28844, Weyhe</t>
  </si>
  <si>
    <t>Dr. S. Bade/J. Forkert (Weyhe), Dr. med. Julian Schreckenberg, Dres. med. J. Wölkner/V. Kardalinos, Marc Discher, Labor Weyhe</t>
  </si>
  <si>
    <t>HB004, HB301, HB302</t>
  </si>
  <si>
    <t>Schwaneweder Str. 21-23, 28779, Bremen-Blumenthal</t>
  </si>
  <si>
    <t>Eberhard Kraft / Dr. med. Andrea Kraft, Eberhard Kraft / Dr. med. Andrea Kraft, Eberhard Kraft / Dr. med. Andrea Kraft</t>
  </si>
  <si>
    <t>HB002, HB301, HB302</t>
  </si>
  <si>
    <t>Schleswiger Str. 24 - 26, 27568, Bremerhaven</t>
  </si>
  <si>
    <t>Dr. med. univ. Kathrin Lührßen</t>
  </si>
  <si>
    <t>Charlotte-Wolff-Allee 7, 28717, Bremen</t>
  </si>
  <si>
    <t>Hausarztpraxis Lesumpark</t>
  </si>
  <si>
    <t>Jupiterstr. 1, 28816, Stuhr</t>
  </si>
  <si>
    <t>MVZ Hausarztpraxis Brinkum</t>
  </si>
  <si>
    <t>HB004, HB302</t>
  </si>
  <si>
    <t>Grashoffstr. 16, 27570, Bremerhaven</t>
  </si>
  <si>
    <t>Anca Lupu</t>
  </si>
  <si>
    <t>HB002</t>
  </si>
  <si>
    <t>Anna-Klara-Fischer-Str. 10, 28277, Bremen</t>
  </si>
  <si>
    <t>Dres. A.Rühmkorf/D.Wahlers</t>
  </si>
  <si>
    <t>Parkallee 301, 28213, Bremen</t>
  </si>
  <si>
    <t>Dr. med. Dirk Wiechert</t>
  </si>
  <si>
    <t>HB301, HB302, HB305</t>
  </si>
  <si>
    <t>Bahnhofstr. 56, 28844, Weyhe</t>
  </si>
  <si>
    <t>Gökpinar / Kardalinos / Wölkner</t>
  </si>
  <si>
    <t>HB004</t>
  </si>
  <si>
    <t>Braunschweiger Str. 40, 27321, Thedinghausen</t>
  </si>
  <si>
    <t>Dr. S. Bade/J. Forkert (Thedingh.)</t>
  </si>
  <si>
    <t>HB003</t>
  </si>
  <si>
    <t>Hauptstr. 10, 27327, Schwarme</t>
  </si>
  <si>
    <t>Dr. med. Anja Zolleck</t>
  </si>
  <si>
    <t>HB003, HB304</t>
  </si>
  <si>
    <t>Alte Dorfstr. 83, 27367, Sottrum</t>
  </si>
  <si>
    <t>Tierklinik Sottrum</t>
  </si>
  <si>
    <t>HB301</t>
  </si>
  <si>
    <t>Helgoländer Str. 63, 27570, Bremerhaven</t>
  </si>
  <si>
    <t>Dr. Martina Mikoleit</t>
  </si>
  <si>
    <t>Airbus Allee 1, 28199, Bremen</t>
  </si>
  <si>
    <t>Airbus Operations GmbH Bremen</t>
  </si>
  <si>
    <t>HB305</t>
  </si>
  <si>
    <t>Rothlaker Str. 1, 28870, Ottersberg Posthausen</t>
  </si>
  <si>
    <t>Tierklinik Posthausen</t>
  </si>
  <si>
    <t>Bardenfleth 39, 26931, Elsfleth</t>
  </si>
  <si>
    <t>Dr. Martin Kohne</t>
  </si>
  <si>
    <t>Am Friedhof 5, 27259, Varrel</t>
  </si>
  <si>
    <t>Dr. med. Sven Nevermann</t>
  </si>
  <si>
    <t>Marienstr. 1, 26121, Oldenburg</t>
  </si>
  <si>
    <t>Uwe Lange</t>
  </si>
  <si>
    <t>Am Krankenhaus 4, 27711, Osterholz-Scharmbeck</t>
  </si>
  <si>
    <t>Krankenhaus Osterholz-Scharmbeck</t>
  </si>
  <si>
    <t>HB301, HB302</t>
  </si>
  <si>
    <t>Bremerhavener Heerstr. 14, 28717, Bremen</t>
  </si>
  <si>
    <t>Dr. med. Bernhardt/Prof. M. Gebauer/</t>
  </si>
  <si>
    <t>Adresse</t>
  </si>
  <si>
    <t>Abholung 1 heute</t>
  </si>
  <si>
    <t>Abholung 2 heute</t>
  </si>
  <si>
    <t>Abholung 2 von</t>
  </si>
  <si>
    <t>Abholung 2 bis</t>
  </si>
  <si>
    <t>Abholung 1 von</t>
  </si>
  <si>
    <t>Abholung 1 bis</t>
  </si>
  <si>
    <t>lat</t>
  </si>
  <si>
    <t>lon</t>
  </si>
  <si>
    <t>Kommentar</t>
  </si>
  <si>
    <t>Mittlerer Stop 15:20 weggelassen</t>
  </si>
  <si>
    <t>Mittlerer Stop 16:15 weggelassen</t>
  </si>
  <si>
    <t>Erster Stop um 15:40 weggelassen</t>
  </si>
  <si>
    <t>Mittlerer Stop 15:00 weggelassen</t>
  </si>
  <si>
    <t>Schickt per Post</t>
  </si>
  <si>
    <t>Erster Stop um 14:40 weggelassen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</si>
</sst>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"/>
      <scheme val="minor"/>
    </font>
    <font>
      <b/>
      <sz val="11"/>
      <color theme="0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/>
    <xf numFmtId="9" fontId="3" fillId="0" borderId="1" xfId="1" applyFont="1" applyFill="1" applyBorder="1"/>
    <xf numFmtId="0" fontId="3" fillId="0" borderId="2" xfId="0" applyFont="1" applyBorder="1"/>
    <xf numFmtId="0" fontId="3" fillId="0" borderId="5" xfId="0" applyFont="1" applyBorder="1"/>
    <xf numFmtId="0" fontId="4" fillId="0" borderId="0" xfId="0" applyFont="1"/>
    <xf numFmtId="0" fontId="4" fillId="0" borderId="3" xfId="0" applyFont="1" applyBorder="1"/>
    <xf numFmtId="164" fontId="4" fillId="0" borderId="4" xfId="0" applyNumberFormat="1" applyFont="1" applyBorder="1"/>
    <xf numFmtId="1" fontId="4" fillId="0" borderId="4" xfId="0" applyNumberFormat="1" applyFont="1" applyBorder="1"/>
    <xf numFmtId="9" fontId="4" fillId="0" borderId="4" xfId="1" applyFont="1" applyFill="1" applyBorder="1"/>
    <xf numFmtId="9" fontId="4" fillId="0" borderId="4" xfId="0" applyNumberFormat="1" applyFont="1" applyBorder="1"/>
    <xf numFmtId="0" fontId="2" fillId="0" borderId="0" xfId="0" applyFont="1"/>
    <xf numFmtId="0" fontId="4" fillId="0" borderId="0" xfId="0" quotePrefix="1" applyFont="1"/>
    <xf numFmtId="0" fontId="4" fillId="0" borderId="0" xfId="0" applyFont="1" applyAlignment="1">
      <alignment wrapText="1"/>
    </xf>
    <xf numFmtId="20" fontId="4" fillId="0" borderId="0" xfId="0" applyNumberFormat="1" applyFont="1"/>
    <xf numFmtId="0" fontId="3" fillId="0" borderId="6" xfId="0" applyFont="1" applyBorder="1"/>
    <xf numFmtId="20" fontId="4" fillId="0" borderId="0" xfId="0" applyNumberFormat="1" applyFont="1" applyAlignment="1">
      <alignment wrapText="1"/>
    </xf>
    <xf numFmtId="0" fontId="5" fillId="0" borderId="0" xfId="0" applyFont="1"/>
    <xf numFmtId="0" fontId="6" fillId="0" borderId="6" xfId="0" applyFont="1" applyBorder="1"/>
    <xf numFmtId="20" fontId="5" fillId="0" borderId="0" xfId="0" applyNumberFormat="1" applyFont="1" applyAlignment="1">
      <alignment wrapText="1"/>
    </xf>
    <xf numFmtId="20" fontId="5" fillId="0" borderId="0" xfId="0" applyNumberFormat="1" applyFont="1"/>
  </cellXfs>
  <cellStyles count="2">
    <cellStyle name="Prozent" xfId="1" builtinId="5"/>
    <cellStyle name="Standard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#,##0\ &quot;€&quot;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#,##0\ &quot;€&quot;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P22" totalsRowShown="0" headerRowDxfId="17" dataDxfId="16">
  <autoFilter ref="A1:P22" xr:uid="{00000000-0009-0000-0100-000001000000}"/>
  <tableColumns count="16">
    <tableColumn id="1" xr3:uid="{00000000-0010-0000-0000-000001000000}" name="Einsender" dataDxfId="15"/>
    <tableColumn id="2" xr3:uid="{00000000-0010-0000-0000-000002000000}" name="Adresse" dataDxfId="14"/>
    <tableColumn id="3" xr3:uid="{00000000-0010-0000-0000-000003000000}" name="Standortumsatz in Melos" dataDxfId="13"/>
    <tableColumn id="4" xr3:uid="{00000000-0010-0000-0000-000004000000}" name="Labortage" dataDxfId="12"/>
    <tableColumn id="5" xr3:uid="{00000000-0010-0000-0000-000005000000}" name="Abholkosten Touren" dataDxfId="11"/>
    <tableColumn id="6" xr3:uid="{00000000-0010-0000-0000-000006000000}" name="Abholkosten Anteil" dataDxfId="10" dataCellStyle="Prozent"/>
    <tableColumn id="7" xr3:uid="{00000000-0010-0000-0000-000007000000}" name="Touren" dataDxfId="9"/>
    <tableColumn id="8" xr3:uid="{00000000-0010-0000-0000-000008000000}" name="Abholung 1 heute" dataDxfId="8"/>
    <tableColumn id="9" xr3:uid="{00000000-0010-0000-0000-000009000000}" name="Abholung 2 heute" dataDxfId="7"/>
    <tableColumn id="10" xr3:uid="{00000000-0010-0000-0000-00000A000000}" name="Abholung 1 von" dataDxfId="6"/>
    <tableColumn id="11" xr3:uid="{00000000-0010-0000-0000-00000B000000}" name="Abholung 1 bis" dataDxfId="5"/>
    <tableColumn id="15" xr3:uid="{F7AD70CF-B50C-9F4B-A726-FBC8E12098A3}" name="Abholung 2 von" dataDxfId="4"/>
    <tableColumn id="14" xr3:uid="{7745C348-B7D9-4344-80CF-4150966B36BA}" name="Abholung 2 bis" dataDxfId="3"/>
    <tableColumn id="12" xr3:uid="{86937E47-365B-EA41-B6DC-7BB7A2D5EE9C}" name="lat" dataDxfId="2"/>
    <tableColumn id="13" xr3:uid="{10EF8CCC-929A-F440-9B44-2D1E081E1B9D}" name="lon" dataDxfId="1"/>
    <tableColumn id="16" xr3:uid="{961926B6-EF4A-FB4B-B4E8-A075F8923771}" name="Komment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zoomScale="94" zoomScaleNormal="90" workbookViewId="0">
      <selection activeCell="K5" sqref="K5"/>
    </sheetView>
  </sheetViews>
  <sheetFormatPr baseColWidth="10" defaultRowHeight="16"/>
  <cols>
    <col min="1" max="1" width="48.6640625" customWidth="1"/>
    <col min="2" max="2" width="45.6640625" bestFit="1" customWidth="1"/>
    <col min="3" max="3" width="16.6640625" customWidth="1"/>
    <col min="4" max="4" width="11.1640625" customWidth="1"/>
    <col min="5" max="5" width="19.1640625" customWidth="1"/>
    <col min="6" max="6" width="18.33203125" customWidth="1"/>
    <col min="7" max="7" width="19.5" bestFit="1" customWidth="1"/>
    <col min="8" max="8" width="19.6640625" customWidth="1"/>
    <col min="9" max="9" width="19.5" customWidth="1"/>
    <col min="10" max="10" width="22.83203125" customWidth="1"/>
    <col min="11" max="13" width="23.1640625" customWidth="1"/>
    <col min="16" max="16" width="30.33203125" customWidth="1"/>
  </cols>
  <sheetData>
    <row r="1" spans="1:16" s="12" customFormat="1" ht="17" thickBot="1">
      <c r="A1" s="1" t="s">
        <v>4</v>
      </c>
      <c r="B1" s="1" t="s">
        <v>60</v>
      </c>
      <c r="C1" s="1" t="s">
        <v>0</v>
      </c>
      <c r="D1" s="1" t="s">
        <v>1</v>
      </c>
      <c r="E1" s="2" t="s">
        <v>2</v>
      </c>
      <c r="F1" s="3" t="s">
        <v>3</v>
      </c>
      <c r="G1" s="4" t="s">
        <v>5</v>
      </c>
      <c r="H1" s="5" t="s">
        <v>61</v>
      </c>
      <c r="I1" s="5" t="s">
        <v>62</v>
      </c>
      <c r="J1" s="5" t="s">
        <v>65</v>
      </c>
      <c r="K1" s="5" t="s">
        <v>66</v>
      </c>
      <c r="L1" s="5" t="s">
        <v>63</v>
      </c>
      <c r="M1" s="5" t="s">
        <v>64</v>
      </c>
      <c r="N1" s="16" t="s">
        <v>67</v>
      </c>
      <c r="O1" s="16" t="s">
        <v>68</v>
      </c>
      <c r="P1" s="19" t="s">
        <v>69</v>
      </c>
    </row>
    <row r="2" spans="1:16" ht="17" thickTop="1">
      <c r="A2" s="6" t="s">
        <v>7</v>
      </c>
      <c r="B2" s="7" t="s">
        <v>6</v>
      </c>
      <c r="C2" s="8">
        <v>368935.67999999848</v>
      </c>
      <c r="D2" s="9">
        <v>220</v>
      </c>
      <c r="E2" s="8">
        <v>30146.129336667153</v>
      </c>
      <c r="F2" s="10">
        <v>8.1711070440970299E-2</v>
      </c>
      <c r="G2" s="6" t="s">
        <v>8</v>
      </c>
      <c r="H2" s="15">
        <v>0.52083333333333337</v>
      </c>
      <c r="I2" s="13"/>
      <c r="J2" s="15">
        <v>0.5</v>
      </c>
      <c r="K2" s="15">
        <v>0.54166666666666663</v>
      </c>
      <c r="L2" s="15"/>
      <c r="M2" s="15"/>
      <c r="N2">
        <v>53.550896000000002</v>
      </c>
      <c r="O2">
        <v>9.9956501000000006</v>
      </c>
      <c r="P2" s="18"/>
    </row>
    <row r="3" spans="1:16">
      <c r="A3" s="6" t="s">
        <v>10</v>
      </c>
      <c r="B3" s="7" t="s">
        <v>9</v>
      </c>
      <c r="C3" s="8">
        <v>325795.3000000004</v>
      </c>
      <c r="D3" s="9">
        <v>220</v>
      </c>
      <c r="E3" s="8">
        <v>35055.566982052827</v>
      </c>
      <c r="F3" s="11">
        <v>0.10759997759959332</v>
      </c>
      <c r="G3" s="6" t="s">
        <v>11</v>
      </c>
      <c r="H3" s="17">
        <v>0.53819444444444442</v>
      </c>
      <c r="I3" s="15">
        <v>0.73958333333333337</v>
      </c>
      <c r="J3" s="15">
        <v>0.52083333333333337</v>
      </c>
      <c r="K3" s="15">
        <v>0.5625</v>
      </c>
      <c r="L3" s="15">
        <v>0.71875</v>
      </c>
      <c r="M3" s="15">
        <v>0.74305555555555558</v>
      </c>
      <c r="N3">
        <v>52.984122999999997</v>
      </c>
      <c r="O3">
        <v>8.8330142919723595</v>
      </c>
      <c r="P3" s="6" t="s">
        <v>71</v>
      </c>
    </row>
    <row r="4" spans="1:16">
      <c r="A4" s="6" t="s">
        <v>13</v>
      </c>
      <c r="B4" s="7" t="s">
        <v>12</v>
      </c>
      <c r="C4" s="8">
        <v>217172.8499999996</v>
      </c>
      <c r="D4" s="9">
        <v>220</v>
      </c>
      <c r="E4" s="8">
        <v>35108.821416715058</v>
      </c>
      <c r="F4" s="10">
        <v>0.16166303208119764</v>
      </c>
      <c r="G4" s="6" t="s">
        <v>14</v>
      </c>
      <c r="H4" s="17">
        <v>0.48958333333333331</v>
      </c>
      <c r="I4" s="17">
        <v>0.6875</v>
      </c>
      <c r="J4" s="15">
        <v>0.47916666666666669</v>
      </c>
      <c r="K4" s="15">
        <v>0.52083333333333337</v>
      </c>
      <c r="L4" s="15">
        <v>0.66666666666666663</v>
      </c>
      <c r="M4" s="15">
        <v>0.70833333333333337</v>
      </c>
      <c r="N4">
        <v>53.197808350000003</v>
      </c>
      <c r="O4">
        <v>8.5720725124461499</v>
      </c>
      <c r="P4" s="6" t="s">
        <v>73</v>
      </c>
    </row>
    <row r="5" spans="1:16">
      <c r="A5" s="6" t="s">
        <v>16</v>
      </c>
      <c r="B5" s="7" t="s">
        <v>15</v>
      </c>
      <c r="C5" s="8">
        <v>142865.04</v>
      </c>
      <c r="D5" s="9">
        <v>213</v>
      </c>
      <c r="E5" s="8">
        <v>34173.000548121294</v>
      </c>
      <c r="F5" s="10">
        <v>0.23919778098351627</v>
      </c>
      <c r="G5" s="6" t="s">
        <v>14</v>
      </c>
      <c r="H5" s="17">
        <v>0.44791666666666669</v>
      </c>
      <c r="I5" s="15">
        <v>0.64583333333333337</v>
      </c>
      <c r="J5" s="15">
        <v>0.4375</v>
      </c>
      <c r="K5" s="15">
        <v>0.47916666666666669</v>
      </c>
      <c r="L5" s="15">
        <v>0.625</v>
      </c>
      <c r="M5" s="15">
        <v>0.66666666666666663</v>
      </c>
      <c r="N5">
        <v>53.543283199999998</v>
      </c>
      <c r="O5">
        <v>8.5803612000000005</v>
      </c>
      <c r="P5" s="18"/>
    </row>
    <row r="6" spans="1:16">
      <c r="A6" s="6" t="s">
        <v>18</v>
      </c>
      <c r="B6" s="7" t="s">
        <v>17</v>
      </c>
      <c r="C6" s="8">
        <v>98336.450000000114</v>
      </c>
      <c r="D6" s="9">
        <v>220</v>
      </c>
      <c r="E6" s="8">
        <v>35108.821416715058</v>
      </c>
      <c r="F6" s="10">
        <v>0.35702754590708752</v>
      </c>
      <c r="G6" s="6" t="s">
        <v>14</v>
      </c>
      <c r="H6" s="17">
        <v>0.50347222222222221</v>
      </c>
      <c r="I6" s="17">
        <v>0.69444444444444442</v>
      </c>
      <c r="J6" s="15">
        <v>0.48958333333333331</v>
      </c>
      <c r="K6" s="15">
        <v>0.52083333333333337</v>
      </c>
      <c r="L6" s="15">
        <v>0.66666666666666663</v>
      </c>
      <c r="M6" s="15">
        <v>0.70833333333333337</v>
      </c>
      <c r="N6">
        <v>53.174046599999997</v>
      </c>
      <c r="O6">
        <v>8.6826931495918895</v>
      </c>
      <c r="P6" s="6" t="s">
        <v>70</v>
      </c>
    </row>
    <row r="7" spans="1:16">
      <c r="A7" s="6" t="s">
        <v>20</v>
      </c>
      <c r="B7" s="7" t="s">
        <v>19</v>
      </c>
      <c r="C7" s="8">
        <v>81170.790000000081</v>
      </c>
      <c r="D7" s="9">
        <v>220</v>
      </c>
      <c r="E7" s="8">
        <v>18163.771337430153</v>
      </c>
      <c r="F7" s="11">
        <v>0.22377226262587976</v>
      </c>
      <c r="G7" s="6" t="s">
        <v>21</v>
      </c>
      <c r="H7" s="15">
        <v>0.51388888888888884</v>
      </c>
      <c r="I7" s="17">
        <v>0.72916666666666663</v>
      </c>
      <c r="J7" s="15">
        <v>0.5</v>
      </c>
      <c r="K7" s="15">
        <v>0.54166666666666663</v>
      </c>
      <c r="L7" s="15">
        <v>0.70833333333333337</v>
      </c>
      <c r="M7" s="15">
        <v>0.73958333333333337</v>
      </c>
      <c r="N7">
        <v>53.003493949999999</v>
      </c>
      <c r="O7">
        <v>8.7788545773589703</v>
      </c>
      <c r="P7" s="18"/>
    </row>
    <row r="8" spans="1:16">
      <c r="A8" s="6" t="s">
        <v>23</v>
      </c>
      <c r="B8" s="7" t="s">
        <v>22</v>
      </c>
      <c r="C8" s="8">
        <v>55910.080000000133</v>
      </c>
      <c r="D8" s="9">
        <v>215</v>
      </c>
      <c r="E8" s="8">
        <v>9212.6499305981451</v>
      </c>
      <c r="F8" s="10">
        <v>0.16477618938477862</v>
      </c>
      <c r="G8" s="6" t="s">
        <v>24</v>
      </c>
      <c r="H8" s="15">
        <v>0.45833333333333331</v>
      </c>
      <c r="I8" s="18"/>
      <c r="J8" s="21">
        <v>0.44791666666666669</v>
      </c>
      <c r="K8" s="15">
        <v>0.48958333333333331</v>
      </c>
      <c r="L8" s="6"/>
      <c r="M8" s="6"/>
      <c r="N8">
        <v>53.53246145</v>
      </c>
      <c r="O8">
        <v>8.5920881912389095</v>
      </c>
      <c r="P8" s="18"/>
    </row>
    <row r="9" spans="1:16">
      <c r="A9" s="6" t="s">
        <v>26</v>
      </c>
      <c r="B9" s="7" t="s">
        <v>25</v>
      </c>
      <c r="C9" s="8">
        <v>53977.759999999987</v>
      </c>
      <c r="D9" s="9">
        <v>220</v>
      </c>
      <c r="E9" s="8">
        <v>22322.059553445157</v>
      </c>
      <c r="F9" s="10">
        <v>0.41354179116445666</v>
      </c>
      <c r="G9" s="6" t="s">
        <v>21</v>
      </c>
      <c r="H9" s="15">
        <v>0.49305555555555558</v>
      </c>
      <c r="I9" s="17">
        <v>0.71527777777777779</v>
      </c>
      <c r="J9" s="15">
        <v>0.47916666666666669</v>
      </c>
      <c r="K9" s="15">
        <v>0.51041666666666663</v>
      </c>
      <c r="L9" s="15">
        <v>0.6875</v>
      </c>
      <c r="M9" s="15">
        <v>0.72916666666666663</v>
      </c>
      <c r="N9">
        <v>53.039779350000003</v>
      </c>
      <c r="O9">
        <v>8.8252071542079609</v>
      </c>
      <c r="P9" s="18"/>
    </row>
    <row r="10" spans="1:16">
      <c r="A10" s="6" t="s">
        <v>28</v>
      </c>
      <c r="B10" s="7" t="s">
        <v>27</v>
      </c>
      <c r="C10" s="8">
        <v>40525.69</v>
      </c>
      <c r="D10" s="9">
        <v>220</v>
      </c>
      <c r="E10" s="8">
        <v>33478.258219318348</v>
      </c>
      <c r="F10" s="10">
        <v>0.82609964739202091</v>
      </c>
      <c r="G10" s="6" t="s">
        <v>29</v>
      </c>
      <c r="H10" s="17">
        <v>0.70486111111111116</v>
      </c>
      <c r="I10" s="18"/>
      <c r="J10" s="20">
        <v>0.66666666666666663</v>
      </c>
      <c r="K10" s="15">
        <v>0.70833333333333337</v>
      </c>
      <c r="L10" s="6"/>
      <c r="M10" s="6"/>
      <c r="N10">
        <v>53.104900399999998</v>
      </c>
      <c r="O10">
        <v>8.8418264999999998</v>
      </c>
      <c r="P10" s="6" t="s">
        <v>72</v>
      </c>
    </row>
    <row r="11" spans="1:16">
      <c r="A11" s="6" t="s">
        <v>31</v>
      </c>
      <c r="B11" s="7" t="s">
        <v>30</v>
      </c>
      <c r="C11" s="8">
        <v>38695.96</v>
      </c>
      <c r="D11" s="9">
        <v>215</v>
      </c>
      <c r="E11" s="8">
        <v>9167.0045571464543</v>
      </c>
      <c r="F11" s="10">
        <v>0.2368982332301991</v>
      </c>
      <c r="G11" s="6" t="s">
        <v>32</v>
      </c>
      <c r="H11" s="15">
        <v>0.53125</v>
      </c>
      <c r="I11" s="18"/>
      <c r="J11" s="21">
        <v>0.52083333333333337</v>
      </c>
      <c r="K11" s="15">
        <v>0.5625</v>
      </c>
      <c r="L11" s="6"/>
      <c r="M11" s="6"/>
      <c r="N11">
        <v>52.984054</v>
      </c>
      <c r="O11">
        <v>8.8585487503619404</v>
      </c>
      <c r="P11" s="18"/>
    </row>
    <row r="12" spans="1:16">
      <c r="A12" s="6" t="s">
        <v>34</v>
      </c>
      <c r="B12" s="7" t="s">
        <v>33</v>
      </c>
      <c r="C12" s="8">
        <v>36176.730000000032</v>
      </c>
      <c r="D12" s="9">
        <v>206</v>
      </c>
      <c r="E12" s="8">
        <v>13615.827037187722</v>
      </c>
      <c r="F12" s="10">
        <v>0.3763697558399477</v>
      </c>
      <c r="G12" s="6" t="s">
        <v>35</v>
      </c>
      <c r="H12" s="15">
        <v>0.51041666666666663</v>
      </c>
      <c r="I12" s="18"/>
      <c r="J12" s="21">
        <v>0.5</v>
      </c>
      <c r="K12" s="15">
        <v>0.54166666666666663</v>
      </c>
      <c r="L12" s="6"/>
      <c r="M12" s="6"/>
      <c r="N12">
        <v>52.961973200000003</v>
      </c>
      <c r="O12">
        <v>9.0238812999999993</v>
      </c>
      <c r="P12" s="18"/>
    </row>
    <row r="13" spans="1:16">
      <c r="A13" s="6" t="s">
        <v>37</v>
      </c>
      <c r="B13" s="7" t="s">
        <v>36</v>
      </c>
      <c r="C13" s="8">
        <v>32908.42000000002</v>
      </c>
      <c r="D13" s="9">
        <v>209</v>
      </c>
      <c r="E13" s="8">
        <v>15886.836685937018</v>
      </c>
      <c r="F13" s="10">
        <v>0.48275902294722772</v>
      </c>
      <c r="G13" s="6" t="s">
        <v>38</v>
      </c>
      <c r="H13" s="15">
        <v>0.51388888888888884</v>
      </c>
      <c r="I13" s="18"/>
      <c r="J13" s="21">
        <v>0.5</v>
      </c>
      <c r="K13" s="15">
        <v>0.54166666666666663</v>
      </c>
      <c r="L13" s="6"/>
      <c r="M13" s="6"/>
      <c r="N13">
        <v>52.898423700000002</v>
      </c>
      <c r="O13">
        <v>9.0187500000000007</v>
      </c>
      <c r="P13" s="18"/>
    </row>
    <row r="14" spans="1:16">
      <c r="A14" s="6" t="s">
        <v>40</v>
      </c>
      <c r="B14" s="7" t="s">
        <v>39</v>
      </c>
      <c r="C14" s="8">
        <v>19527.39999999998</v>
      </c>
      <c r="D14" s="9">
        <v>82</v>
      </c>
      <c r="E14" s="8">
        <v>7873.0349667537703</v>
      </c>
      <c r="F14" s="10">
        <v>0.40317886491564564</v>
      </c>
      <c r="G14" s="6" t="s">
        <v>41</v>
      </c>
      <c r="H14" s="15">
        <v>0.69791666666666663</v>
      </c>
      <c r="I14" s="18"/>
      <c r="J14" s="21">
        <v>0.66666666666666663</v>
      </c>
      <c r="K14" s="15">
        <v>0.70833333333333337</v>
      </c>
      <c r="L14" s="6"/>
      <c r="M14" s="6"/>
      <c r="N14">
        <v>53.113919199999998</v>
      </c>
      <c r="O14">
        <v>9.2088905737189197</v>
      </c>
      <c r="P14" s="18"/>
    </row>
    <row r="15" spans="1:16">
      <c r="A15" s="6" t="s">
        <v>43</v>
      </c>
      <c r="B15" s="7" t="s">
        <v>42</v>
      </c>
      <c r="C15" s="8">
        <v>13361.24</v>
      </c>
      <c r="D15" s="9">
        <v>183</v>
      </c>
      <c r="E15" s="8">
        <v>8076.0531198833851</v>
      </c>
      <c r="F15" s="10">
        <v>0.60443889338739409</v>
      </c>
      <c r="G15" s="6" t="s">
        <v>24</v>
      </c>
      <c r="H15" s="15">
        <v>0.46180555555555558</v>
      </c>
      <c r="I15" s="18"/>
      <c r="J15" s="21">
        <v>0.44791666666666669</v>
      </c>
      <c r="K15" s="15">
        <v>0.5</v>
      </c>
      <c r="L15" s="6"/>
      <c r="M15" s="6"/>
      <c r="N15">
        <v>53.521648549999902</v>
      </c>
      <c r="O15">
        <v>8.5959076292354197</v>
      </c>
      <c r="P15" s="18"/>
    </row>
    <row r="16" spans="1:16">
      <c r="A16" s="6" t="s">
        <v>45</v>
      </c>
      <c r="B16" s="7" t="s">
        <v>44</v>
      </c>
      <c r="C16" s="8">
        <v>9370.4399999999896</v>
      </c>
      <c r="D16" s="9">
        <v>208</v>
      </c>
      <c r="E16" s="8">
        <v>7419.2187058317086</v>
      </c>
      <c r="F16" s="10">
        <v>0.79176844479359743</v>
      </c>
      <c r="G16" s="6" t="s">
        <v>46</v>
      </c>
      <c r="H16" s="15">
        <v>0.59375</v>
      </c>
      <c r="I16" s="6"/>
      <c r="J16" s="15">
        <v>0.58333333333333337</v>
      </c>
      <c r="K16" s="15">
        <v>0.625</v>
      </c>
      <c r="L16" s="6"/>
      <c r="M16" s="6"/>
      <c r="N16">
        <v>53.053781000000001</v>
      </c>
      <c r="O16">
        <v>8.7919405000000008</v>
      </c>
      <c r="P16" s="18"/>
    </row>
    <row r="17" spans="1:16">
      <c r="A17" s="6" t="s">
        <v>48</v>
      </c>
      <c r="B17" s="7" t="s">
        <v>47</v>
      </c>
      <c r="C17" s="8">
        <v>5597.0600000000077</v>
      </c>
      <c r="D17" s="9">
        <v>46</v>
      </c>
      <c r="E17" s="8">
        <v>5520.3147899184023</v>
      </c>
      <c r="F17" s="10">
        <v>0.98628829955698072</v>
      </c>
      <c r="G17" s="6" t="s">
        <v>41</v>
      </c>
      <c r="H17" s="15">
        <v>0.69097222222222221</v>
      </c>
      <c r="I17" s="6"/>
      <c r="J17" s="15">
        <v>0.66666666666666663</v>
      </c>
      <c r="K17" s="15">
        <v>0.70833333333333337</v>
      </c>
      <c r="L17" s="6"/>
      <c r="M17" s="6"/>
      <c r="N17">
        <v>53.070146999999999</v>
      </c>
      <c r="O17">
        <v>9.1666889964561697</v>
      </c>
      <c r="P17" s="18"/>
    </row>
    <row r="18" spans="1:16">
      <c r="A18" s="6" t="s">
        <v>50</v>
      </c>
      <c r="B18" s="7" t="s">
        <v>49</v>
      </c>
      <c r="C18" s="8">
        <v>2201.400000000001</v>
      </c>
      <c r="D18" s="9">
        <v>8</v>
      </c>
      <c r="E18" s="8">
        <v>3544.7581842282925</v>
      </c>
      <c r="F18" s="10">
        <v>1.6102290289035572</v>
      </c>
      <c r="G18" s="6" t="s">
        <v>8</v>
      </c>
      <c r="H18" s="6" t="s">
        <v>74</v>
      </c>
      <c r="I18" s="6"/>
      <c r="J18" s="15"/>
      <c r="K18" s="15"/>
      <c r="L18" s="6"/>
      <c r="M18" s="6"/>
      <c r="N18">
        <v>53.236269350000001</v>
      </c>
      <c r="O18">
        <v>8.3673371936000507</v>
      </c>
      <c r="P18" s="18"/>
    </row>
    <row r="19" spans="1:16">
      <c r="A19" s="6" t="s">
        <v>52</v>
      </c>
      <c r="B19" s="7" t="s">
        <v>51</v>
      </c>
      <c r="C19" s="8">
        <v>1107.0899999999999</v>
      </c>
      <c r="D19" s="9">
        <v>8</v>
      </c>
      <c r="E19" s="8">
        <v>2440.9721009673326</v>
      </c>
      <c r="F19" s="10">
        <v>2.2048542584318644</v>
      </c>
      <c r="G19" s="6" t="s">
        <v>35</v>
      </c>
      <c r="H19" s="15">
        <v>0.46875</v>
      </c>
      <c r="I19" s="6"/>
      <c r="J19" s="15">
        <v>0.45833333333333331</v>
      </c>
      <c r="K19" s="15">
        <v>0.5</v>
      </c>
      <c r="L19" s="6"/>
      <c r="M19" s="6"/>
      <c r="N19">
        <v>52.6149497262995</v>
      </c>
      <c r="O19">
        <v>8.7354979295034898</v>
      </c>
      <c r="P19" s="18"/>
    </row>
    <row r="20" spans="1:16">
      <c r="A20" s="6" t="s">
        <v>54</v>
      </c>
      <c r="B20" s="7" t="s">
        <v>53</v>
      </c>
      <c r="C20" s="8">
        <v>1055.79</v>
      </c>
      <c r="D20" s="9">
        <v>15</v>
      </c>
      <c r="E20" s="8">
        <v>4423.1053449220281</v>
      </c>
      <c r="F20" s="10">
        <v>4.1893798434556384</v>
      </c>
      <c r="G20" s="6" t="s">
        <v>8</v>
      </c>
      <c r="H20" s="6" t="s">
        <v>74</v>
      </c>
      <c r="I20" s="6"/>
      <c r="J20" s="15"/>
      <c r="K20" s="15"/>
      <c r="L20" s="6"/>
      <c r="M20" s="6"/>
      <c r="N20">
        <v>53.1422454</v>
      </c>
      <c r="O20">
        <v>8.2061709</v>
      </c>
      <c r="P20" s="18"/>
    </row>
    <row r="21" spans="1:16">
      <c r="A21" s="6" t="s">
        <v>56</v>
      </c>
      <c r="B21" s="7" t="s">
        <v>55</v>
      </c>
      <c r="C21" s="8">
        <v>669.98</v>
      </c>
      <c r="D21" s="9">
        <v>10</v>
      </c>
      <c r="E21" s="8">
        <v>5102.8687469452643</v>
      </c>
      <c r="F21" s="10">
        <v>7.6164493670635904</v>
      </c>
      <c r="G21" s="6" t="s">
        <v>57</v>
      </c>
      <c r="H21" s="17">
        <v>0.62430555555555556</v>
      </c>
      <c r="I21" s="14"/>
      <c r="J21" s="15">
        <v>0.60416666666666663</v>
      </c>
      <c r="K21" s="15">
        <v>0.64583333333333337</v>
      </c>
      <c r="L21" s="6"/>
      <c r="M21" s="6"/>
      <c r="N21">
        <v>53.232500100000003</v>
      </c>
      <c r="O21">
        <v>8.7937025000000002</v>
      </c>
      <c r="P21" s="6" t="s">
        <v>75</v>
      </c>
    </row>
    <row r="22" spans="1:16">
      <c r="A22" s="6" t="s">
        <v>59</v>
      </c>
      <c r="B22" s="7" t="s">
        <v>58</v>
      </c>
      <c r="C22" s="8">
        <v>411.65</v>
      </c>
      <c r="D22" s="9">
        <v>14</v>
      </c>
      <c r="E22" s="8">
        <v>2073.4012132960643</v>
      </c>
      <c r="F22" s="10">
        <v>5.0368060568348465</v>
      </c>
      <c r="G22" s="6" t="s">
        <v>24</v>
      </c>
      <c r="H22" s="6" t="s">
        <v>74</v>
      </c>
      <c r="I22" s="14"/>
      <c r="J22" s="15"/>
      <c r="K22" s="15"/>
      <c r="L22" s="6"/>
      <c r="M22" s="6"/>
      <c r="N22">
        <v>53.168905949999903</v>
      </c>
      <c r="O22">
        <v>8.7018544545326009</v>
      </c>
      <c r="P22" s="18"/>
    </row>
  </sheetData>
  <conditionalFormatting sqref="F1:F2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{73BEE6FD-0D46-CC43-B30E-1FFC70CBDD1F}</x14:id>
        </ext>
      </extLst>
    </cfRule>
  </conditionalFormatting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BEE6FD-0D46-CC43-B30E-1FFC70CBDD1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F1:F22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Mohr</dc:creator>
  <cp:lastModifiedBy>Matthias Mohr</cp:lastModifiedBy>
  <dcterms:created xsi:type="dcterms:W3CDTF">2026-01-07T12:28:47Z</dcterms:created>
  <dcterms:modified xsi:type="dcterms:W3CDTF">2026-02-03T20:36:22Z</dcterms:modified>
</cp:coreProperties>
</file>